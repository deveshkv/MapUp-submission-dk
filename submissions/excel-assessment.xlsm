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ownload\Mapup-Submission\"/>
    </mc:Choice>
  </mc:AlternateContent>
  <xr:revisionPtr revIDLastSave="0" documentId="8_{68AFF804-57BE-4002-B4AA-543C21F4FAC0}" xr6:coauthVersionLast="47" xr6:coauthVersionMax="47" xr10:uidLastSave="{00000000-0000-0000-0000-000000000000}"/>
  <bookViews>
    <workbookView xWindow="-120" yWindow="-120" windowWidth="20730" windowHeight="11040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24" i="20"/>
  <c r="E24" i="20"/>
  <c r="F24" i="20" s="1"/>
  <c r="D25" i="20"/>
  <c r="E25" i="20"/>
  <c r="F25" i="20"/>
  <c r="D26" i="20"/>
  <c r="E26" i="20"/>
  <c r="F26" i="20"/>
  <c r="D27" i="20"/>
  <c r="E27" i="20"/>
  <c r="F27" i="20"/>
  <c r="D28" i="20"/>
  <c r="E28" i="20"/>
  <c r="F28" i="20" s="1"/>
  <c r="D29" i="20"/>
  <c r="E29" i="20"/>
  <c r="F29" i="20"/>
  <c r="D30" i="20"/>
  <c r="E30" i="20"/>
  <c r="F30" i="20"/>
  <c r="D31" i="20"/>
  <c r="E31" i="20"/>
  <c r="F31" i="20"/>
  <c r="D32" i="20"/>
  <c r="E32" i="20"/>
  <c r="F32" i="20" s="1"/>
  <c r="D33" i="20"/>
  <c r="E33" i="20"/>
  <c r="F33" i="20"/>
  <c r="D34" i="20"/>
  <c r="E34" i="20"/>
  <c r="F34" i="20"/>
  <c r="D35" i="20"/>
  <c r="E35" i="20"/>
  <c r="F35" i="20"/>
  <c r="F23" i="20"/>
  <c r="E23" i="20"/>
  <c r="D23" i="20"/>
  <c r="C22" i="19" l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E6" i="18"/>
  <c r="D6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  <c r="H1048576" i="1"/>
</calcChain>
</file>

<file path=xl/sharedStrings.xml><?xml version="1.0" encoding="utf-8"?>
<sst xmlns="http://schemas.openxmlformats.org/spreadsheetml/2006/main" count="416" uniqueCount="193">
  <si>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</si>
  <si>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</si>
  <si>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</si>
  <si>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</si>
  <si>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</si>
  <si>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</si>
  <si>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</si>
  <si>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</si>
  <si>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</si>
  <si>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</si>
  <si>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</si>
  <si>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</si>
  <si>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</si>
  <si>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</si>
  <si>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</si>
  <si>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</si>
  <si>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</si>
  <si>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</si>
  <si>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</si>
  <si>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</si>
  <si>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</si>
  <si>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</si>
  <si>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</si>
  <si>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</si>
  <si>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</si>
  <si>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</si>
  <si>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</si>
  <si>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</si>
  <si>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</si>
  <si>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</si>
  <si>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</si>
  <si>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</si>
  <si>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</si>
  <si>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</si>
  <si>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</si>
  <si>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</si>
  <si>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</si>
  <si>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</si>
  <si>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</si>
  <si>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</si>
  <si>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</si>
  <si>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</si>
  <si>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</si>
  <si>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</si>
  <si>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</si>
  <si>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</si>
  <si>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</si>
  <si>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</si>
  <si>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</si>
  <si>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</si>
  <si>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</si>
  <si>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</si>
  <si>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</si>
  <si>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</si>
  <si>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</si>
  <si>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</si>
  <si>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</si>
  <si>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</si>
  <si>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</si>
  <si>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</si>
  <si>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</si>
  <si>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</si>
  <si>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</si>
  <si>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</si>
  <si>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</si>
  <si>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</si>
  <si>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</si>
  <si>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</si>
  <si>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</si>
  <si>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</si>
  <si>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</si>
  <si>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</si>
  <si>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</si>
  <si>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</si>
  <si>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</si>
  <si>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</si>
  <si>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</si>
  <si>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</si>
  <si>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</si>
  <si>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</si>
  <si>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</si>
  <si>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</si>
  <si>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</si>
  <si>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</si>
  <si>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</si>
  <si>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</si>
  <si>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</si>
  <si>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</si>
  <si>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</si>
  <si>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</si>
  <si>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</si>
  <si>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</si>
  <si>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</si>
  <si>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</si>
  <si>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</si>
  <si>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</si>
  <si>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</si>
  <si>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</si>
  <si>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</si>
  <si>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</si>
  <si>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</si>
  <si>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</si>
  <si>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</si>
  <si>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</si>
  <si>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</si>
  <si>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</si>
  <si>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</si>
  <si>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</si>
  <si>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</si>
  <si>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</si>
  <si>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</si>
  <si>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</si>
  <si>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</si>
  <si>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</si>
  <si>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</si>
  <si>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</si>
  <si>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</si>
  <si>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</si>
  <si>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</si>
  <si>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</si>
  <si>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</si>
  <si>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</si>
  <si>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</si>
  <si>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</si>
  <si>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</si>
  <si>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</si>
  <si>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</si>
  <si>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</si>
  <si>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</si>
  <si>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</si>
  <si>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</si>
  <si>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</si>
  <si>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</si>
  <si>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</si>
  <si>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</si>
  <si>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</si>
  <si>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</si>
  <si>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</si>
  <si>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</si>
  <si>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</si>
  <si>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</si>
  <si>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</si>
  <si>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</si>
  <si>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</si>
  <si>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</si>
  <si>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</si>
  <si>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</si>
  <si>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</si>
  <si>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</si>
  <si>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</si>
  <si>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</si>
  <si>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</si>
  <si>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</si>
  <si>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</si>
  <si>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</si>
  <si>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</si>
  <si>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</si>
  <si>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</si>
  <si>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</si>
  <si>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</si>
  <si>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</si>
  <si>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</si>
  <si>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</si>
  <si>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</si>
  <si>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</si>
  <si>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</si>
  <si>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</si>
  <si>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</si>
  <si>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</si>
  <si>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</si>
  <si>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</si>
  <si>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</si>
  <si>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</si>
  <si>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</si>
  <si>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</si>
  <si>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</si>
  <si>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</si>
  <si>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SUM,&gt;20</t>
  </si>
  <si>
    <t>SUMIF(H2:H40,"&gt;20")</t>
  </si>
  <si>
    <t>Text to column function of data tab</t>
  </si>
  <si>
    <t xml:space="preserve">Select the Columns A16:A54 and then go to Data Tab click on text to column, select hyphen as delimiter give the area where values to be Printed </t>
  </si>
  <si>
    <t xml:space="preserve"> Replace Function</t>
  </si>
  <si>
    <t>Select all cell of Sales Click on Find&amp;Select icon in home tab click on Replace Find what-#N/A and Replace value 20</t>
  </si>
  <si>
    <t>for sum used formula =SUM(Range)</t>
  </si>
  <si>
    <t>range is c12 : C21</t>
  </si>
  <si>
    <t>column</t>
  </si>
  <si>
    <t xml:space="preserve">row </t>
  </si>
  <si>
    <t xml:space="preserve">Just for references </t>
  </si>
  <si>
    <t>Column Number</t>
  </si>
  <si>
    <t xml:space="preserve">1. calculate the row name and column name using vlookup in Table_B						</t>
  </si>
  <si>
    <t xml:space="preserve">2.calculate the column number of column name using match on header of Table_A						</t>
  </si>
  <si>
    <t xml:space="preserve">3. vlookup for the row name and column number in Table_A to fatch the value. 						</t>
  </si>
  <si>
    <t>VLOOKUP(VLOOKUP(A23, $M$9:$N$18, 2), $A$9:$J$18, MATCH(VLOOKUP(B23, $M$9:$N$18, 2), $A$9:$J$9, 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</si>
</sst>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0.0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7" fillId="2" borderId="0" xfId="0" applyNumberFormat="1" applyFont="1" applyFill="1"/>
    <xf numFmtId="0" fontId="3" fillId="0" borderId="0" xfId="0" applyNumberFormat="1" applyFont="1"/>
    <xf numFmtId="167" fontId="7" fillId="0" borderId="0" xfId="0" applyNumberFormat="1" applyFont="1"/>
    <xf numFmtId="167" fontId="3" fillId="0" borderId="0" xfId="0" applyNumberFormat="1" applyFont="1"/>
    <xf numFmtId="166" fontId="3" fillId="0" borderId="7" xfId="0" applyNumberFormat="1" applyFont="1" applyBorder="1"/>
    <xf numFmtId="166" fontId="3" fillId="5" borderId="1" xfId="0" applyNumberFormat="1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98BEB62-34A4-4584-88B6-7B5A1E24EA2B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048576"/>
  <sheetViews>
    <sheetView zoomScaleNormal="100" workbookViewId="0">
      <pane ySplit="1" topLeftCell="A2" activePane="bottomLeft" state="frozen"/>
      <selection pane="bottomLeft" activeCell="I45" sqref="I4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7" width="12.83203125" style="1" bestFit="1" customWidth="1"/>
    <col min="8" max="8" width="12.83203125" style="45" bestFit="1" customWidth="1"/>
    <col min="9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44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45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45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45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45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45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45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45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45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45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45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45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45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45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45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45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45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45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45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45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45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45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45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45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45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45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45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45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45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45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45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45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45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45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45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45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45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45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45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45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25">
      <c r="G42" s="1" t="s">
        <v>177</v>
      </c>
      <c r="H42" s="45">
        <f>SUMIF(H2:H40,"&gt;20")</f>
        <v>1473.0000000000002</v>
      </c>
    </row>
    <row r="43" spans="1:24" x14ac:dyDescent="0.25">
      <c r="A43" s="1">
        <v>1</v>
      </c>
      <c r="B43" s="1">
        <v>2</v>
      </c>
      <c r="C43" s="1">
        <v>3</v>
      </c>
      <c r="D43" s="45">
        <v>4</v>
      </c>
      <c r="E43" s="1">
        <v>5</v>
      </c>
      <c r="F43" s="1">
        <v>6</v>
      </c>
      <c r="G43" s="1">
        <v>7</v>
      </c>
      <c r="H43" s="45">
        <v>8</v>
      </c>
      <c r="I43" s="1">
        <v>9</v>
      </c>
      <c r="J43" s="1">
        <v>10</v>
      </c>
      <c r="K43" s="1">
        <v>11</v>
      </c>
      <c r="L43" s="45">
        <v>12</v>
      </c>
      <c r="M43" s="1">
        <v>13</v>
      </c>
      <c r="N43" s="1">
        <v>14</v>
      </c>
      <c r="O43" s="1">
        <v>15</v>
      </c>
      <c r="P43" s="45">
        <v>16</v>
      </c>
      <c r="Q43" s="1">
        <v>17</v>
      </c>
      <c r="R43" s="1">
        <v>18</v>
      </c>
      <c r="S43" s="1">
        <v>19</v>
      </c>
      <c r="T43" s="45">
        <v>20</v>
      </c>
      <c r="U43" s="1">
        <v>21</v>
      </c>
      <c r="V43" s="1">
        <v>22</v>
      </c>
      <c r="W43" s="1">
        <v>23</v>
      </c>
      <c r="X43" s="45">
        <v>24</v>
      </c>
    </row>
    <row r="1048576" spans="8:8" x14ac:dyDescent="0.25">
      <c r="H1048576" s="45">
        <f>SUM(H2:H1048575)</f>
        <v>3021.5000000000005</v>
      </c>
    </row>
  </sheetData>
  <conditionalFormatting sqref="A1:A1048576 E43 I43 M43 Q43 U43">
    <cfRule type="duplicateValues" dxfId="4" priority="5"/>
  </conditionalFormatting>
  <conditionalFormatting sqref="B1:B1048576 F43 J43 N43 R43 V43">
    <cfRule type="duplicateValues" dxfId="3" priority="4"/>
  </conditionalFormatting>
  <conditionalFormatting sqref="A1">
    <cfRule type="cellIs" dxfId="2" priority="3" operator="equal">
      <formula>-1</formula>
    </cfRule>
  </conditionalFormatting>
  <conditionalFormatting sqref="A1:C40 E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3" sqref="C13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2" zoomScaleNormal="100" workbookViewId="0">
      <selection activeCell="H32" sqref="H32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48">
        <f>VLOOKUP(A6,Dataset!$A$1:$X$40,7,FALSE)</f>
        <v>2.7</v>
      </c>
      <c r="C6" s="48">
        <f>VLOOKUP(A6,Dataset!$A$1:$X$40,14,FALSE)</f>
        <v>7.6</v>
      </c>
      <c r="D6" s="48">
        <f>VLOOKUP(A6,Dataset!$A$1:$X$40,18,FALSE)</f>
        <v>4.2</v>
      </c>
      <c r="E6" s="12">
        <f>VLOOKUP(A6,Dataset!$A$1:$X$40,20,FALSE)</f>
        <v>8.9</v>
      </c>
      <c r="F6" s="8">
        <f>VLOOKUP(A6,Dataset!$A$1:$X$40,22,FALSE)</f>
        <v>4.2</v>
      </c>
    </row>
    <row r="7" spans="1:7" ht="15" x14ac:dyDescent="0.25">
      <c r="A7" s="7" t="s">
        <v>4</v>
      </c>
      <c r="B7" s="48">
        <f>VLOOKUP(A7,Dataset!$A$1:$X$40,7,FALSE)</f>
        <v>2.7</v>
      </c>
      <c r="C7" s="48">
        <f>VLOOKUP(A7,Dataset!$A$1:$X$40,14,FALSE)</f>
        <v>7.6</v>
      </c>
      <c r="D7" s="48">
        <f>VLOOKUP(A7,Dataset!$A$1:$X$40,18,FALSE)</f>
        <v>4.2</v>
      </c>
      <c r="E7" s="12">
        <f>VLOOKUP(A7,Dataset!$A$1:$X$40,20,FALSE)</f>
        <v>8.9</v>
      </c>
      <c r="F7" s="8">
        <f>VLOOKUP(A7,Dataset!$A$1:$X$40,22,FALSE)</f>
        <v>4.2</v>
      </c>
    </row>
    <row r="8" spans="1:7" ht="15" x14ac:dyDescent="0.25">
      <c r="A8" s="7" t="s">
        <v>7</v>
      </c>
      <c r="B8" s="48">
        <f>VLOOKUP(A8,Dataset!$A$1:$X$40,7,FALSE)</f>
        <v>3.6</v>
      </c>
      <c r="C8" s="48">
        <f>VLOOKUP(A8,Dataset!$A$1:$X$40,14,FALSE)</f>
        <v>11.1</v>
      </c>
      <c r="D8" s="48">
        <f>VLOOKUP(A8,Dataset!$A$1:$X$40,18,FALSE)</f>
        <v>5.8</v>
      </c>
      <c r="E8" s="12">
        <f>VLOOKUP(A8,Dataset!$A$1:$X$40,20,FALSE)</f>
        <v>12.2</v>
      </c>
      <c r="F8" s="8">
        <f>VLOOKUP(A8,Dataset!$A$1:$X$40,22,FALSE)</f>
        <v>5.8</v>
      </c>
    </row>
    <row r="9" spans="1:7" ht="15" x14ac:dyDescent="0.25">
      <c r="A9" s="7" t="s">
        <v>8</v>
      </c>
      <c r="B9" s="48">
        <f>VLOOKUP(A9,Dataset!$A$1:$X$40,7,FALSE)</f>
        <v>4.9000000000000004</v>
      </c>
      <c r="C9" s="48">
        <f>VLOOKUP(A9,Dataset!$A$1:$X$40,14,FALSE)</f>
        <v>13.3</v>
      </c>
      <c r="D9" s="48">
        <f>VLOOKUP(A9,Dataset!$A$1:$X$40,18,FALSE)</f>
        <v>8.1</v>
      </c>
      <c r="E9" s="12">
        <f>VLOOKUP(A9,Dataset!$A$1:$X$40,20,FALSE)</f>
        <v>17</v>
      </c>
      <c r="F9" s="8">
        <f>VLOOKUP(A9,Dataset!$A$1:$X$40,22,FALSE)</f>
        <v>8.1</v>
      </c>
    </row>
    <row r="10" spans="1:7" ht="15" x14ac:dyDescent="0.25">
      <c r="A10" s="7" t="s">
        <v>11</v>
      </c>
      <c r="B10" s="48">
        <f>VLOOKUP(A10,Dataset!$A$1:$X$40,7,FALSE)</f>
        <v>9.4</v>
      </c>
      <c r="C10" s="48">
        <f>VLOOKUP(A10,Dataset!$A$1:$X$40,14,FALSE)</f>
        <v>28.3</v>
      </c>
      <c r="D10" s="48">
        <f>VLOOKUP(A10,Dataset!$A$1:$X$40,18,FALSE)</f>
        <v>16.100000000000001</v>
      </c>
      <c r="E10" s="12">
        <f>VLOOKUP(A10,Dataset!$A$1:$X$40,20,FALSE)</f>
        <v>32.799999999999997</v>
      </c>
      <c r="F10" s="8">
        <f>VLOOKUP(A10,Dataset!$A$1:$X$40,22,FALSE)</f>
        <v>16.100000000000001</v>
      </c>
    </row>
    <row r="11" spans="1:7" ht="15" x14ac:dyDescent="0.25">
      <c r="A11" s="7" t="s">
        <v>12</v>
      </c>
      <c r="B11" s="48">
        <f>VLOOKUP(A11,Dataset!$A$1:$X$40,7,FALSE)</f>
        <v>11.6</v>
      </c>
      <c r="C11" s="48">
        <f>VLOOKUP(A11,Dataset!$A$1:$X$40,14,FALSE)</f>
        <v>35.200000000000003</v>
      </c>
      <c r="D11" s="48">
        <f>VLOOKUP(A11,Dataset!$A$1:$X$40,18,FALSE)</f>
        <v>21.3</v>
      </c>
      <c r="E11" s="12">
        <f>VLOOKUP(A11,Dataset!$A$1:$X$40,20,FALSE)</f>
        <v>43</v>
      </c>
      <c r="F11" s="8">
        <f>VLOOKUP(A11,Dataset!$A$1:$X$40,22,FALSE)</f>
        <v>21.3</v>
      </c>
    </row>
    <row r="12" spans="1:7" ht="15" x14ac:dyDescent="0.25">
      <c r="A12" s="7" t="s">
        <v>14</v>
      </c>
      <c r="B12" s="48">
        <f>VLOOKUP(A12,Dataset!$A$1:$X$40,7,FALSE)</f>
        <v>18.399999999999999</v>
      </c>
      <c r="C12" s="48">
        <f>VLOOKUP(A12,Dataset!$A$1:$X$40,14,FALSE)</f>
        <v>55.6</v>
      </c>
      <c r="D12" s="48">
        <f>VLOOKUP(A12,Dataset!$A$1:$X$40,18,FALSE)</f>
        <v>33.799999999999997</v>
      </c>
      <c r="E12" s="12">
        <f>VLOOKUP(A12,Dataset!$A$1:$X$40,20,FALSE)</f>
        <v>67.900000000000006</v>
      </c>
      <c r="F12" s="8">
        <f>VLOOKUP(A12,Dataset!$A$1:$X$40,22,FALSE)</f>
        <v>33.799999999999997</v>
      </c>
    </row>
    <row r="13" spans="1:7" ht="15" x14ac:dyDescent="0.25">
      <c r="A13" s="7" t="s">
        <v>15</v>
      </c>
      <c r="B13" s="48">
        <f>VLOOKUP(A13,Dataset!$A$1:$X$40,7,FALSE)</f>
        <v>0</v>
      </c>
      <c r="C13" s="48">
        <f>VLOOKUP(A13,Dataset!$A$1:$X$40,14,FALSE)</f>
        <v>0</v>
      </c>
      <c r="D13" s="48">
        <f>VLOOKUP(A13,Dataset!$A$1:$X$40,18,FALSE)</f>
        <v>0</v>
      </c>
      <c r="E13" s="12">
        <f>VLOOKUP(A13,Dataset!$A$1:$X$40,20,FALSE)</f>
        <v>0</v>
      </c>
      <c r="F13" s="8">
        <f>VLOOKUP(A13,Dataset!$A$1:$X$40,22,FALSE)</f>
        <v>0</v>
      </c>
    </row>
    <row r="14" spans="1:7" ht="15" x14ac:dyDescent="0.25">
      <c r="A14" s="7" t="s">
        <v>16</v>
      </c>
      <c r="B14" s="48">
        <f>VLOOKUP(A14,Dataset!$A$1:$X$40,7,FALSE)</f>
        <v>21.9</v>
      </c>
      <c r="C14" s="48">
        <f>VLOOKUP(A14,Dataset!$A$1:$X$40,14,FALSE)</f>
        <v>61.5</v>
      </c>
      <c r="D14" s="48">
        <f>VLOOKUP(A14,Dataset!$A$1:$X$40,18,FALSE)</f>
        <v>40.1</v>
      </c>
      <c r="E14" s="12">
        <f>VLOOKUP(A14,Dataset!$A$1:$X$40,20,FALSE)</f>
        <v>76.599999999999994</v>
      </c>
      <c r="F14" s="8">
        <f>VLOOKUP(A14,Dataset!$A$1:$X$40,22,FALSE)</f>
        <v>40.1</v>
      </c>
    </row>
    <row r="15" spans="1:7" ht="15" x14ac:dyDescent="0.25">
      <c r="A15" s="7" t="s">
        <v>18</v>
      </c>
      <c r="B15" s="48">
        <f>VLOOKUP(A15,Dataset!$A$1:$X$40,7,FALSE)</f>
        <v>26.8</v>
      </c>
      <c r="C15" s="48">
        <f>VLOOKUP(A15,Dataset!$A$1:$X$40,14,FALSE)</f>
        <v>79.599999999999994</v>
      </c>
      <c r="D15" s="48">
        <f>VLOOKUP(A15,Dataset!$A$1:$X$40,18,FALSE)</f>
        <v>47.9</v>
      </c>
      <c r="E15" s="12">
        <f>VLOOKUP(A15,Dataset!$A$1:$X$40,20,FALSE)</f>
        <v>96.8</v>
      </c>
      <c r="F15" s="8">
        <f>VLOOKUP(A15,Dataset!$A$1:$X$40,22,FALSE)</f>
        <v>47.9</v>
      </c>
    </row>
    <row r="16" spans="1:7" ht="15" x14ac:dyDescent="0.25">
      <c r="A16" s="7" t="s">
        <v>20</v>
      </c>
      <c r="B16" s="48">
        <f>VLOOKUP(A16,Dataset!$A$1:$X$40,7,FALSE)</f>
        <v>28.5</v>
      </c>
      <c r="C16" s="48">
        <f>VLOOKUP(A16,Dataset!$A$1:$X$40,14,FALSE)</f>
        <v>85.4</v>
      </c>
      <c r="D16" s="48">
        <f>VLOOKUP(A16,Dataset!$A$1:$X$40,18,FALSE)</f>
        <v>52.3</v>
      </c>
      <c r="E16" s="12">
        <f>VLOOKUP(A16,Dataset!$A$1:$X$40,20,FALSE)</f>
        <v>106.1</v>
      </c>
      <c r="F16" s="8">
        <f>VLOOKUP(A16,Dataset!$A$1:$X$40,22,FALSE)</f>
        <v>52.3</v>
      </c>
    </row>
    <row r="17" spans="1:6" ht="15" x14ac:dyDescent="0.25">
      <c r="A17" s="7" t="s">
        <v>22</v>
      </c>
      <c r="B17" s="48">
        <f>VLOOKUP(A17,Dataset!$A$1:$X$40,7,FALSE)</f>
        <v>30.7</v>
      </c>
      <c r="C17" s="48">
        <f>VLOOKUP(A17,Dataset!$A$1:$X$40,14,FALSE)</f>
        <v>92.1</v>
      </c>
      <c r="D17" s="48">
        <f>VLOOKUP(A17,Dataset!$A$1:$X$40,18,FALSE)</f>
        <v>57</v>
      </c>
      <c r="E17" s="12">
        <f>VLOOKUP(A17,Dataset!$A$1:$X$40,20,FALSE)</f>
        <v>115.1</v>
      </c>
      <c r="F17" s="8">
        <f>VLOOKUP(A17,Dataset!$A$1:$X$40,22,FALSE)</f>
        <v>57</v>
      </c>
    </row>
    <row r="18" spans="1:6" ht="15" x14ac:dyDescent="0.25">
      <c r="A18" s="7" t="s">
        <v>23</v>
      </c>
      <c r="B18" s="48">
        <f>VLOOKUP(A18,Dataset!$A$1:$X$40,7,FALSE)</f>
        <v>33.799999999999997</v>
      </c>
      <c r="C18" s="48">
        <f>VLOOKUP(A18,Dataset!$A$1:$X$40,14,FALSE)</f>
        <v>101.3</v>
      </c>
      <c r="D18" s="48">
        <f>VLOOKUP(A18,Dataset!$A$1:$X$40,18,FALSE)</f>
        <v>61.4</v>
      </c>
      <c r="E18" s="12">
        <f>VLOOKUP(A18,Dataset!$A$1:$X$40,20,FALSE)</f>
        <v>124.4</v>
      </c>
      <c r="F18" s="8">
        <f>VLOOKUP(A18,Dataset!$A$1:$X$40,22,FALSE)</f>
        <v>61.4</v>
      </c>
    </row>
    <row r="19" spans="1:6" ht="15" x14ac:dyDescent="0.25">
      <c r="A19" s="7" t="s">
        <v>24</v>
      </c>
      <c r="B19" s="48">
        <f>VLOOKUP(A19,Dataset!$A$1:$X$40,7,FALSE)</f>
        <v>34.700000000000003</v>
      </c>
      <c r="C19" s="48">
        <f>VLOOKUP(A19,Dataset!$A$1:$X$40,14,FALSE)</f>
        <v>106.1</v>
      </c>
      <c r="D19" s="48">
        <f>VLOOKUP(A19,Dataset!$A$1:$X$40,18,FALSE)</f>
        <v>63.6</v>
      </c>
      <c r="E19" s="12">
        <f>VLOOKUP(A19,Dataset!$A$1:$X$40,20,FALSE)</f>
        <v>128.6</v>
      </c>
      <c r="F19" s="8">
        <f>VLOOKUP(A19,Dataset!$A$1:$X$40,22,FALSE)</f>
        <v>63.6</v>
      </c>
    </row>
    <row r="20" spans="1:6" ht="15" x14ac:dyDescent="0.25">
      <c r="A20" s="7" t="s">
        <v>28</v>
      </c>
      <c r="B20" s="48">
        <f>VLOOKUP(A20,Dataset!$A$1:$X$40,7,FALSE)</f>
        <v>0</v>
      </c>
      <c r="C20" s="48">
        <f>VLOOKUP(A20,Dataset!$A$1:$X$40,14,FALSE)</f>
        <v>0</v>
      </c>
      <c r="D20" s="48">
        <f>VLOOKUP(A20,Dataset!$A$1:$X$40,18,FALSE)</f>
        <v>0</v>
      </c>
      <c r="E20" s="12">
        <f>VLOOKUP(A20,Dataset!$A$1:$X$40,20,FALSE)</f>
        <v>0</v>
      </c>
      <c r="F20" s="8">
        <f>VLOOKUP(A20,Dataset!$A$1:$X$40,22,FALSE)</f>
        <v>0</v>
      </c>
    </row>
    <row r="21" spans="1:6" ht="15" x14ac:dyDescent="0.25">
      <c r="A21" s="7" t="s">
        <v>57</v>
      </c>
      <c r="B21" s="48">
        <f>VLOOKUP(A21,Dataset!$A$1:$X$40,7,FALSE)</f>
        <v>41.3</v>
      </c>
      <c r="C21" s="48">
        <f>VLOOKUP(A21,Dataset!$A$1:$X$40,14,FALSE)</f>
        <v>124.4</v>
      </c>
      <c r="D21" s="48">
        <f>VLOOKUP(A21,Dataset!$A$1:$X$40,18,FALSE)</f>
        <v>75</v>
      </c>
      <c r="E21" s="12">
        <f>VLOOKUP(A21,Dataset!$A$1:$X$40,20,FALSE)</f>
        <v>151.5</v>
      </c>
      <c r="F21" s="8">
        <f>VLOOKUP(A21,Dataset!$A$1:$X$40,22,FALSE)</f>
        <v>75</v>
      </c>
    </row>
    <row r="22" spans="1:6" ht="15" x14ac:dyDescent="0.25">
      <c r="A22" s="7" t="s">
        <v>58</v>
      </c>
      <c r="B22" s="48">
        <f>VLOOKUP(A22,Dataset!$A$1:$X$40,7,FALSE)</f>
        <v>-1</v>
      </c>
      <c r="C22" s="48">
        <f>VLOOKUP(A22,Dataset!$A$1:$X$40,14,FALSE)</f>
        <v>-1</v>
      </c>
      <c r="D22" s="48">
        <f>VLOOKUP(A22,Dataset!$A$1:$X$40,18,FALSE)</f>
        <v>-1</v>
      </c>
      <c r="E22" s="12">
        <f>VLOOKUP(A22,Dataset!$A$1:$X$40,20,FALSE)</f>
        <v>-1</v>
      </c>
      <c r="F22" s="8">
        <f>VLOOKUP(A22,Dataset!$A$1:$X$40,22,FALSE)</f>
        <v>-1</v>
      </c>
    </row>
    <row r="23" spans="1:6" ht="15" x14ac:dyDescent="0.25">
      <c r="A23" s="7" t="s">
        <v>31</v>
      </c>
      <c r="B23" s="48">
        <f>VLOOKUP(A23,Dataset!$A$1:$X$40,7,FALSE)</f>
        <v>45</v>
      </c>
      <c r="C23" s="48">
        <f>VLOOKUP(A23,Dataset!$A$1:$X$40,14,FALSE)</f>
        <v>133.4</v>
      </c>
      <c r="D23" s="48">
        <f>VLOOKUP(A23,Dataset!$A$1:$X$40,18,FALSE)</f>
        <v>79.400000000000006</v>
      </c>
      <c r="E23" s="12">
        <f>VLOOKUP(A23,Dataset!$A$1:$X$40,20,FALSE)</f>
        <v>160.9</v>
      </c>
      <c r="F23" s="8">
        <f>VLOOKUP(A23,Dataset!$A$1:$X$40,22,FALSE)</f>
        <v>79.400000000000006</v>
      </c>
    </row>
    <row r="24" spans="1:6" ht="15" x14ac:dyDescent="0.25">
      <c r="A24" s="7" t="s">
        <v>32</v>
      </c>
      <c r="B24" s="48">
        <f>VLOOKUP(A24,Dataset!$A$1:$X$40,7,FALSE)</f>
        <v>-1</v>
      </c>
      <c r="C24" s="48">
        <f>VLOOKUP(A24,Dataset!$A$1:$X$40,14,FALSE)</f>
        <v>-1</v>
      </c>
      <c r="D24" s="48">
        <f>VLOOKUP(A24,Dataset!$A$1:$X$40,18,FALSE)</f>
        <v>-1</v>
      </c>
      <c r="E24" s="12">
        <f>VLOOKUP(A24,Dataset!$A$1:$X$40,20,FALSE)</f>
        <v>-1</v>
      </c>
      <c r="F24" s="8">
        <f>VLOOKUP(A24,Dataset!$A$1:$X$40,22,FALSE)</f>
        <v>-1</v>
      </c>
    </row>
    <row r="25" spans="1:6" ht="15" x14ac:dyDescent="0.25">
      <c r="A25" s="7" t="s">
        <v>34</v>
      </c>
      <c r="B25" s="48">
        <f>VLOOKUP(A25,Dataset!$A$1:$X$40,7,FALSE)</f>
        <v>43.3</v>
      </c>
      <c r="C25" s="48">
        <f>VLOOKUP(A25,Dataset!$A$1:$X$40,14,FALSE)</f>
        <v>128.6</v>
      </c>
      <c r="D25" s="48">
        <f>VLOOKUP(A25,Dataset!$A$1:$X$40,18,FALSE)</f>
        <v>79.400000000000006</v>
      </c>
      <c r="E25" s="12">
        <f>VLOOKUP(A25,Dataset!$A$1:$X$40,20,FALSE)</f>
        <v>160.9</v>
      </c>
      <c r="F25" s="8">
        <f>VLOOKUP(A25,Dataset!$A$1:$X$40,22,FALSE)</f>
        <v>79.400000000000006</v>
      </c>
    </row>
    <row r="26" spans="1:6" ht="15" x14ac:dyDescent="0.25">
      <c r="A26" s="7" t="s">
        <v>37</v>
      </c>
      <c r="B26" s="48">
        <f>VLOOKUP(A26,Dataset!$A$1:$X$40,7,FALSE)</f>
        <v>49.1</v>
      </c>
      <c r="C26" s="48">
        <f>VLOOKUP(A26,Dataset!$A$1:$X$40,14,FALSE)</f>
        <v>146.80000000000001</v>
      </c>
      <c r="D26" s="48">
        <f>VLOOKUP(A26,Dataset!$A$1:$X$40,18,FALSE)</f>
        <v>90.9</v>
      </c>
      <c r="E26" s="12">
        <f>VLOOKUP(A26,Dataset!$A$1:$X$40,20,FALSE)</f>
        <v>183.5</v>
      </c>
      <c r="F26" s="8">
        <f>VLOOKUP(A26,Dataset!$A$1:$X$40,22,FALSE)</f>
        <v>90.9</v>
      </c>
    </row>
    <row r="27" spans="1:6" ht="15" x14ac:dyDescent="0.25">
      <c r="A27" s="7" t="s">
        <v>39</v>
      </c>
      <c r="B27" s="48">
        <f>VLOOKUP(A27,Dataset!$A$1:$X$40,7,FALSE)</f>
        <v>51.8</v>
      </c>
      <c r="C27" s="48">
        <f>VLOOKUP(A27,Dataset!$A$1:$X$40,14,FALSE)</f>
        <v>156.4</v>
      </c>
      <c r="D27" s="48">
        <f>VLOOKUP(A27,Dataset!$A$1:$X$40,18,FALSE)</f>
        <v>93.1</v>
      </c>
      <c r="E27" s="12">
        <f>VLOOKUP(A27,Dataset!$A$1:$X$40,20,FALSE)</f>
        <v>188.1</v>
      </c>
      <c r="F27" s="8">
        <f>VLOOKUP(A27,Dataset!$A$1:$X$40,22,FALSE)</f>
        <v>93.1</v>
      </c>
    </row>
    <row r="28" spans="1:6" ht="15" x14ac:dyDescent="0.25">
      <c r="A28" s="19" t="s">
        <v>82</v>
      </c>
      <c r="B28" s="49">
        <f>MIN(B6:B27)</f>
        <v>-1</v>
      </c>
      <c r="C28" s="49">
        <f t="shared" ref="C28:F28" si="0">MIN(C6:C27)</f>
        <v>-1</v>
      </c>
      <c r="D28" s="49">
        <f t="shared" si="0"/>
        <v>-1</v>
      </c>
      <c r="E28" s="49">
        <f t="shared" si="0"/>
        <v>-1</v>
      </c>
      <c r="F28" s="49">
        <f t="shared" si="0"/>
        <v>-1</v>
      </c>
    </row>
    <row r="29" spans="1:6" ht="15" x14ac:dyDescent="0.25">
      <c r="A29" s="19" t="s">
        <v>83</v>
      </c>
      <c r="B29" s="49">
        <f>MAX(B6:B27)</f>
        <v>51.8</v>
      </c>
      <c r="C29" s="49">
        <f t="shared" ref="C29:F29" si="1">MAX(C6:C27)</f>
        <v>156.4</v>
      </c>
      <c r="D29" s="49">
        <f t="shared" si="1"/>
        <v>93.1</v>
      </c>
      <c r="E29" s="49">
        <f t="shared" si="1"/>
        <v>188.1</v>
      </c>
      <c r="F29" s="49">
        <f t="shared" si="1"/>
        <v>93.1</v>
      </c>
    </row>
    <row r="30" spans="1:6" ht="15" x14ac:dyDescent="0.25">
      <c r="A30" s="19" t="s">
        <v>84</v>
      </c>
      <c r="B30" s="49">
        <f>AVERAGE(B6:B27)</f>
        <v>20.827272727272728</v>
      </c>
      <c r="C30" s="49">
        <f t="shared" ref="C30:F30" si="2">AVERAGE(C6:C27)</f>
        <v>62.377272727272725</v>
      </c>
      <c r="D30" s="49">
        <f t="shared" si="2"/>
        <v>37.800000000000004</v>
      </c>
      <c r="E30" s="49">
        <f t="shared" si="2"/>
        <v>76.418181818181822</v>
      </c>
      <c r="F30" s="4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K54"/>
  <sheetViews>
    <sheetView tabSelected="1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1" s="40" customFormat="1" ht="21" x14ac:dyDescent="0.35">
      <c r="A1" s="41" t="s">
        <v>56</v>
      </c>
      <c r="B1" s="40" t="s">
        <v>174</v>
      </c>
    </row>
    <row r="2" spans="1:11" customFormat="1" ht="12.75" x14ac:dyDescent="0.2"/>
    <row r="3" spans="1:11" s="2" customFormat="1" x14ac:dyDescent="0.25">
      <c r="B3" s="1"/>
    </row>
    <row r="4" spans="1:11" s="2" customFormat="1" x14ac:dyDescent="0.25">
      <c r="B4" s="1" t="s">
        <v>151</v>
      </c>
    </row>
    <row r="5" spans="1:11" ht="18.75" x14ac:dyDescent="0.3">
      <c r="A5" s="42" t="s">
        <v>53</v>
      </c>
      <c r="B5" s="1" t="s">
        <v>179</v>
      </c>
    </row>
    <row r="6" spans="1:11" ht="18.75" x14ac:dyDescent="0.3">
      <c r="A6" s="42" t="s">
        <v>153</v>
      </c>
      <c r="B6" s="39" t="s">
        <v>180</v>
      </c>
    </row>
    <row r="7" spans="1:11" ht="18.75" x14ac:dyDescent="0.3">
      <c r="A7" s="42"/>
      <c r="B7" s="39"/>
    </row>
    <row r="9" spans="1:11" ht="23.25" x14ac:dyDescent="0.35">
      <c r="A9" s="18" t="s">
        <v>165</v>
      </c>
      <c r="I9" s="2"/>
      <c r="J9" s="2"/>
    </row>
    <row r="10" spans="1:11" x14ac:dyDescent="0.2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1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1" ht="23.25" x14ac:dyDescent="0.35">
      <c r="A14" s="18" t="s">
        <v>162</v>
      </c>
    </row>
    <row r="15" spans="1:11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  <c r="K15" s="12"/>
    </row>
    <row r="16" spans="1:11" x14ac:dyDescent="0.25">
      <c r="A16" s="7" t="s">
        <v>121</v>
      </c>
      <c r="B16" s="1">
        <v>20000</v>
      </c>
      <c r="C16" s="12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10" sqref="F10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153</v>
      </c>
      <c r="B7" s="1" t="s">
        <v>182</v>
      </c>
    </row>
    <row r="8" spans="1:3" x14ac:dyDescent="0.2">
      <c r="B8" s="2" t="s">
        <v>183</v>
      </c>
    </row>
    <row r="9" spans="1:3" x14ac:dyDescent="0.2">
      <c r="C9" s="2" t="s">
        <v>184</v>
      </c>
    </row>
    <row r="10" spans="1:3" ht="23.25" x14ac:dyDescent="0.35">
      <c r="A10" s="18" t="s">
        <v>162</v>
      </c>
    </row>
    <row r="11" spans="1:3" ht="15" x14ac:dyDescent="0.25">
      <c r="A11" s="31" t="s">
        <v>86</v>
      </c>
      <c r="B11" s="17" t="s">
        <v>87</v>
      </c>
      <c r="C11" s="17" t="s">
        <v>88</v>
      </c>
    </row>
    <row r="12" spans="1:3" ht="15" x14ac:dyDescent="0.25">
      <c r="A12" s="31">
        <v>44927</v>
      </c>
      <c r="B12" s="17" t="s">
        <v>59</v>
      </c>
      <c r="C12" s="17">
        <v>200</v>
      </c>
    </row>
    <row r="13" spans="1:3" ht="15" x14ac:dyDescent="0.25">
      <c r="A13" s="31">
        <v>44928</v>
      </c>
      <c r="B13" s="17" t="s">
        <v>60</v>
      </c>
      <c r="C13" s="2">
        <v>20</v>
      </c>
    </row>
    <row r="14" spans="1:3" ht="15" x14ac:dyDescent="0.25">
      <c r="A14" s="31">
        <v>44929</v>
      </c>
      <c r="B14" s="17" t="s">
        <v>61</v>
      </c>
      <c r="C14" s="17">
        <v>50</v>
      </c>
    </row>
    <row r="15" spans="1:3" ht="15" x14ac:dyDescent="0.25">
      <c r="A15" s="31">
        <v>44930</v>
      </c>
      <c r="B15" s="17" t="s">
        <v>62</v>
      </c>
      <c r="C15" s="17">
        <v>20</v>
      </c>
    </row>
    <row r="16" spans="1:3" ht="15" x14ac:dyDescent="0.25">
      <c r="A16" s="31">
        <v>44931</v>
      </c>
      <c r="B16" s="17" t="s">
        <v>63</v>
      </c>
      <c r="C16" s="17">
        <v>10</v>
      </c>
    </row>
    <row r="17" spans="1:3" ht="15" x14ac:dyDescent="0.25">
      <c r="A17" s="31">
        <v>44932</v>
      </c>
      <c r="B17" s="17" t="s">
        <v>154</v>
      </c>
      <c r="C17" s="17">
        <v>150</v>
      </c>
    </row>
    <row r="18" spans="1:3" ht="15" x14ac:dyDescent="0.25">
      <c r="A18" s="31">
        <v>44933</v>
      </c>
      <c r="B18" s="17" t="s">
        <v>155</v>
      </c>
      <c r="C18" s="17">
        <v>80</v>
      </c>
    </row>
    <row r="19" spans="1:3" ht="15" x14ac:dyDescent="0.25">
      <c r="A19" s="31">
        <v>44934</v>
      </c>
      <c r="B19" s="17" t="s">
        <v>156</v>
      </c>
      <c r="C19" s="17">
        <v>20</v>
      </c>
    </row>
    <row r="20" spans="1:3" ht="15" x14ac:dyDescent="0.25">
      <c r="A20" s="31">
        <v>44935</v>
      </c>
      <c r="B20" s="17" t="s">
        <v>157</v>
      </c>
      <c r="C20" s="17">
        <v>30</v>
      </c>
    </row>
    <row r="21" spans="1:3" ht="15" x14ac:dyDescent="0.25">
      <c r="A21" s="31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7" zoomScaleNormal="100" workbookViewId="0">
      <selection activeCell="M32" sqref="M3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C4" s="2" t="s">
        <v>192</v>
      </c>
    </row>
    <row r="5" spans="1:14" ht="18.75" x14ac:dyDescent="0.3">
      <c r="A5" s="42" t="s">
        <v>153</v>
      </c>
      <c r="B5" s="1" t="s">
        <v>189</v>
      </c>
    </row>
    <row r="6" spans="1:14" ht="15" x14ac:dyDescent="0.25">
      <c r="A6" s="3"/>
      <c r="B6" s="1" t="s">
        <v>190</v>
      </c>
    </row>
    <row r="7" spans="1:14" x14ac:dyDescent="0.2">
      <c r="B7" s="2" t="s">
        <v>191</v>
      </c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  <c r="D21" s="2" t="s">
        <v>187</v>
      </c>
    </row>
    <row r="22" spans="1:14" ht="15" x14ac:dyDescent="0.25">
      <c r="A22" s="14" t="s">
        <v>100</v>
      </c>
      <c r="B22" s="17" t="s">
        <v>101</v>
      </c>
      <c r="C22" s="16" t="s">
        <v>102</v>
      </c>
      <c r="D22" s="2" t="s">
        <v>186</v>
      </c>
      <c r="E22" s="2" t="s">
        <v>185</v>
      </c>
      <c r="F22" s="2" t="s">
        <v>188</v>
      </c>
    </row>
    <row r="23" spans="1:14" ht="15" x14ac:dyDescent="0.25">
      <c r="A23" s="7">
        <v>10100</v>
      </c>
      <c r="B23" s="12">
        <v>10102</v>
      </c>
      <c r="C23" s="43">
        <f t="shared" ref="C23:C35" si="0">VLOOKUP(VLOOKUP(A23, $M$9:$N$18, 2), $A$9:$J$18, MATCH(VLOOKUP(B23, $M$9:$N$18, 2), $A$9:$J$9, 0))</f>
        <v>95</v>
      </c>
      <c r="D23" s="2" t="str">
        <f>VLOOKUP(A23,$M$10:$N$18,2,0)</f>
        <v>A</v>
      </c>
      <c r="E23" s="2" t="str">
        <f>VLOOKUP(B23,$M$10:$N$18,2,0)</f>
        <v>B</v>
      </c>
      <c r="F23" s="2">
        <f>MATCH(E23,$A$9:$J$9,0)</f>
        <v>3</v>
      </c>
    </row>
    <row r="24" spans="1:14" ht="15" x14ac:dyDescent="0.25">
      <c r="A24" s="7">
        <v>10100</v>
      </c>
      <c r="B24" s="12">
        <v>10104</v>
      </c>
      <c r="C24" s="43">
        <f t="shared" si="0"/>
        <v>-1</v>
      </c>
      <c r="D24" s="2" t="str">
        <f t="shared" ref="D24:D35" si="1">VLOOKUP(A24,$M$10:$N$18,2,0)</f>
        <v>A</v>
      </c>
      <c r="E24" s="2" t="str">
        <f t="shared" ref="E24:E35" si="2">VLOOKUP(B24,$M$10:$N$18,2,0)</f>
        <v>C</v>
      </c>
      <c r="F24" s="2">
        <f t="shared" ref="F24:F35" si="3">MATCH(E24,$A$9:$J$9,0)</f>
        <v>4</v>
      </c>
    </row>
    <row r="25" spans="1:14" ht="15" x14ac:dyDescent="0.25">
      <c r="A25" s="7">
        <v>10108</v>
      </c>
      <c r="B25" s="12">
        <v>10102</v>
      </c>
      <c r="C25" s="43">
        <f t="shared" si="0"/>
        <v>160</v>
      </c>
      <c r="D25" s="2" t="str">
        <f t="shared" si="1"/>
        <v>E</v>
      </c>
      <c r="E25" s="2" t="str">
        <f t="shared" si="2"/>
        <v>B</v>
      </c>
      <c r="F25" s="2">
        <f t="shared" si="3"/>
        <v>3</v>
      </c>
    </row>
    <row r="26" spans="1:14" ht="15" x14ac:dyDescent="0.25">
      <c r="A26" s="7">
        <v>10100</v>
      </c>
      <c r="B26" s="12">
        <v>10106</v>
      </c>
      <c r="C26" s="43">
        <f t="shared" si="0"/>
        <v>185</v>
      </c>
      <c r="D26" s="2" t="str">
        <f t="shared" si="1"/>
        <v>A</v>
      </c>
      <c r="E26" s="2" t="str">
        <f t="shared" si="2"/>
        <v>D</v>
      </c>
      <c r="F26" s="2">
        <f t="shared" si="3"/>
        <v>5</v>
      </c>
    </row>
    <row r="27" spans="1:14" ht="15" x14ac:dyDescent="0.25">
      <c r="A27" s="7">
        <v>10108</v>
      </c>
      <c r="B27" s="12">
        <v>10110</v>
      </c>
      <c r="C27" s="43">
        <f t="shared" si="0"/>
        <v>50</v>
      </c>
      <c r="D27" s="2" t="str">
        <f t="shared" si="1"/>
        <v>E</v>
      </c>
      <c r="E27" s="2" t="str">
        <f t="shared" si="2"/>
        <v>F</v>
      </c>
      <c r="F27" s="2">
        <f t="shared" si="3"/>
        <v>7</v>
      </c>
    </row>
    <row r="28" spans="1:14" ht="15" x14ac:dyDescent="0.25">
      <c r="A28" s="7">
        <v>10102</v>
      </c>
      <c r="B28" s="12">
        <v>10104</v>
      </c>
      <c r="C28" s="43">
        <f t="shared" si="0"/>
        <v>-1</v>
      </c>
      <c r="D28" s="2" t="str">
        <f t="shared" si="1"/>
        <v>B</v>
      </c>
      <c r="E28" s="2" t="str">
        <f t="shared" si="2"/>
        <v>C</v>
      </c>
      <c r="F28" s="2">
        <f t="shared" si="3"/>
        <v>4</v>
      </c>
    </row>
    <row r="29" spans="1:14" ht="15" x14ac:dyDescent="0.25">
      <c r="A29" s="7">
        <v>10106</v>
      </c>
      <c r="B29" s="12">
        <v>10108</v>
      </c>
      <c r="C29" s="43">
        <f t="shared" si="0"/>
        <v>70</v>
      </c>
      <c r="D29" s="2" t="str">
        <f t="shared" si="1"/>
        <v>D</v>
      </c>
      <c r="E29" s="2" t="str">
        <f t="shared" si="2"/>
        <v>E</v>
      </c>
      <c r="F29" s="2">
        <f t="shared" si="3"/>
        <v>6</v>
      </c>
    </row>
    <row r="30" spans="1:14" ht="15" x14ac:dyDescent="0.25">
      <c r="A30" s="7">
        <v>10102</v>
      </c>
      <c r="B30" s="12">
        <v>10106</v>
      </c>
      <c r="C30" s="43">
        <f t="shared" si="0"/>
        <v>90</v>
      </c>
      <c r="D30" s="2" t="str">
        <f t="shared" si="1"/>
        <v>B</v>
      </c>
      <c r="E30" s="2" t="str">
        <f t="shared" si="2"/>
        <v>D</v>
      </c>
      <c r="F30" s="2">
        <f t="shared" si="3"/>
        <v>5</v>
      </c>
    </row>
    <row r="31" spans="1:14" ht="15" x14ac:dyDescent="0.25">
      <c r="A31" s="7">
        <v>10110</v>
      </c>
      <c r="B31" s="12">
        <v>10114</v>
      </c>
      <c r="C31" s="43">
        <f t="shared" si="0"/>
        <v>180</v>
      </c>
      <c r="D31" s="2" t="str">
        <f t="shared" si="1"/>
        <v>F</v>
      </c>
      <c r="E31" s="2" t="str">
        <f t="shared" si="2"/>
        <v>H</v>
      </c>
      <c r="F31" s="2">
        <f t="shared" si="3"/>
        <v>9</v>
      </c>
    </row>
    <row r="32" spans="1:14" ht="15" x14ac:dyDescent="0.25">
      <c r="A32" s="7">
        <v>10104</v>
      </c>
      <c r="B32" s="12">
        <v>10106</v>
      </c>
      <c r="C32" s="43">
        <f t="shared" si="0"/>
        <v>60</v>
      </c>
      <c r="D32" s="2" t="str">
        <f t="shared" si="1"/>
        <v>C</v>
      </c>
      <c r="E32" s="2" t="str">
        <f t="shared" si="2"/>
        <v>D</v>
      </c>
      <c r="F32" s="2">
        <f t="shared" si="3"/>
        <v>5</v>
      </c>
    </row>
    <row r="33" spans="1:6" ht="15" x14ac:dyDescent="0.25">
      <c r="A33" s="7">
        <v>10110</v>
      </c>
      <c r="B33" s="12">
        <v>10112</v>
      </c>
      <c r="C33" s="43">
        <f t="shared" si="0"/>
        <v>115</v>
      </c>
      <c r="D33" s="2" t="str">
        <f t="shared" si="1"/>
        <v>F</v>
      </c>
      <c r="E33" s="2" t="str">
        <f t="shared" si="2"/>
        <v>G</v>
      </c>
      <c r="F33" s="2">
        <f t="shared" si="3"/>
        <v>8</v>
      </c>
    </row>
    <row r="34" spans="1:6" ht="15" x14ac:dyDescent="0.25">
      <c r="A34" s="7">
        <v>10100</v>
      </c>
      <c r="B34" s="12">
        <v>10114</v>
      </c>
      <c r="C34" s="43">
        <f t="shared" si="0"/>
        <v>480</v>
      </c>
      <c r="D34" s="2" t="str">
        <f t="shared" si="1"/>
        <v>A</v>
      </c>
      <c r="E34" s="2" t="str">
        <f t="shared" si="2"/>
        <v>H</v>
      </c>
      <c r="F34" s="2">
        <f t="shared" si="3"/>
        <v>9</v>
      </c>
    </row>
    <row r="35" spans="1:6" ht="15" x14ac:dyDescent="0.25">
      <c r="A35" s="9">
        <v>10112</v>
      </c>
      <c r="B35" s="13">
        <v>10116</v>
      </c>
      <c r="C35" s="43">
        <f t="shared" si="0"/>
        <v>105</v>
      </c>
      <c r="D35" s="2" t="str">
        <f t="shared" si="1"/>
        <v>G</v>
      </c>
      <c r="E35" s="2" t="str">
        <f t="shared" si="2"/>
        <v>I</v>
      </c>
      <c r="F35" s="2">
        <f t="shared" si="3"/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Devesh Verma</cp:lastModifiedBy>
  <dcterms:created xsi:type="dcterms:W3CDTF">2015-02-10T17:33:11Z</dcterms:created>
  <dcterms:modified xsi:type="dcterms:W3CDTF">2023-12-11T06:08:30Z</dcterms:modified>
</cp:coreProperties>
</file>